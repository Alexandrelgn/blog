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e965e0e1f885/Documents/blog/assets/"/>
    </mc:Choice>
  </mc:AlternateContent>
  <xr:revisionPtr revIDLastSave="214" documentId="8_{49E107E2-FAE3-46D4-A586-0D8CBE2A2945}" xr6:coauthVersionLast="47" xr6:coauthVersionMax="47" xr10:uidLastSave="{8C09D425-2342-403E-98B8-6AE445724D80}"/>
  <bookViews>
    <workbookView xWindow="-108" yWindow="-108" windowWidth="23256" windowHeight="12456" activeTab="1" xr2:uid="{A4FBE4D0-7B05-46E0-8DFD-C3559556203F}"/>
  </bookViews>
  <sheets>
    <sheet name="Graphique1" sheetId="3" r:id="rId1"/>
    <sheet name="images" sheetId="2" r:id="rId2"/>
    <sheet name="Feuil1" sheetId="1" r:id="rId3"/>
  </sheets>
  <definedNames>
    <definedName name="DonnéesExternes_1" localSheetId="1" hidden="1">images!$B$1:$E$33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6" i="2"/>
  <c r="J27" i="2"/>
  <c r="J28" i="2"/>
  <c r="J29" i="2"/>
  <c r="J30" i="2"/>
  <c r="J31" i="2"/>
  <c r="J32" i="2"/>
  <c r="J33" i="2"/>
  <c r="A2" i="2" a="1"/>
  <c r="A2" i="2" s="1"/>
  <c r="A2" i="1" a="1"/>
  <c r="A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95B896-B230-46A2-BC3B-BEE224173695}" keepAlive="1" name="Requête - images" description="Connexion à la requête « images » dans le classeur." type="5" refreshedVersion="8" background="1" saveData="1">
    <dbPr connection="Provider=Microsoft.Mashup.OleDb.1;Data Source=$Workbook$;Location=images;Extended Properties=&quot;&quot;" command="SELECT * FROM [imag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<sst xmlns="http://schemas.openxmlformats.org/spreadsheetml/2006/main" count="232" uniqueCount="123">
  <si>
    <t>file</t>
  </si>
  <si>
    <t>title</t>
  </si>
  <si>
    <t>meta</t>
  </si>
  <si>
    <t>category</t>
  </si>
  <si>
    <t>alt</t>
  </si>
  <si>
    <t>order</t>
  </si>
  <si>
    <t>Name</t>
  </si>
  <si>
    <t>Extension</t>
  </si>
  <si>
    <t>Date created</t>
  </si>
  <si>
    <t>Folder Path</t>
  </si>
  <si>
    <t>IMG_0028.JPEG</t>
  </si>
  <si>
    <t>.JPEG</t>
  </si>
  <si>
    <t>C:\Users\align\OneDrive\Documents\blog\assets\images\</t>
  </si>
  <si>
    <t>IMG_0043.JPEG</t>
  </si>
  <si>
    <t>IMG_0157.JPG</t>
  </si>
  <si>
    <t>.JPG</t>
  </si>
  <si>
    <t>IMG_0159.JPG</t>
  </si>
  <si>
    <t>IMG_0170.JPG</t>
  </si>
  <si>
    <t>IMG_0178.JPEG</t>
  </si>
  <si>
    <t>IMG_0436.JPEG</t>
  </si>
  <si>
    <t>IMG_0546.JPG</t>
  </si>
  <si>
    <t>IMG_0610.JPEG</t>
  </si>
  <si>
    <t>IMG_0631.JPEG</t>
  </si>
  <si>
    <t>IMG_0829.JPG</t>
  </si>
  <si>
    <t>IMG_0865.JPG</t>
  </si>
  <si>
    <t>IMG_0869.JPEG</t>
  </si>
  <si>
    <t>IMG_0901.JPG</t>
  </si>
  <si>
    <t>IMG_0910.JPG</t>
  </si>
  <si>
    <t>IMG_1036.JPEG</t>
  </si>
  <si>
    <t>IMG_1097.JPG</t>
  </si>
  <si>
    <t>IMG_1238.JPEG</t>
  </si>
  <si>
    <t>IMG_1266.JPEG</t>
  </si>
  <si>
    <t>IMG_1411.JPEG</t>
  </si>
  <si>
    <t>IMG_1427.JPEG</t>
  </si>
  <si>
    <t>IMG_1584.JPEG</t>
  </si>
  <si>
    <t>IMG_1691.JPEG</t>
  </si>
  <si>
    <t>IMG_1846.JPEG</t>
  </si>
  <si>
    <t>IMG_1847.JPEG</t>
  </si>
  <si>
    <t>IMG_1917.JPG</t>
  </si>
  <si>
    <t>IMG_3548.JPEG</t>
  </si>
  <si>
    <t>IMG_5390.JPEG</t>
  </si>
  <si>
    <t>P1031928.JPG</t>
  </si>
  <si>
    <t>P1031986.JPG</t>
  </si>
  <si>
    <t>P1031987.JPG</t>
  </si>
  <si>
    <t>P1032031.JPG</t>
  </si>
  <si>
    <t>Order</t>
  </si>
  <si>
    <t xml:space="preserve">Appercu </t>
  </si>
  <si>
    <t>Concert du GP Explorer Last Race</t>
  </si>
  <si>
    <t>Culture</t>
  </si>
  <si>
    <t>SDM au GP Explorer Last Race</t>
  </si>
  <si>
    <t>Pendant la course, le rappeur SDM suit l'événement depuis sa loge.</t>
  </si>
  <si>
    <t>Ecran de la scène du GP Explorer Last Race organisé par Squeezie.</t>
  </si>
  <si>
    <t>Discours d'ouverture du QG de campagne de Rachida Dati</t>
  </si>
  <si>
    <t>Rachida Dati prononce le discours de l'ouverture du QG de campagne municipale de Paris 2026 avec son mouvement "Changer Paris"</t>
  </si>
  <si>
    <t>Politique</t>
  </si>
  <si>
    <t>Ouverture du QG de campagne municipale de Rachida Dati pour Paris</t>
  </si>
  <si>
    <t>Ouverture du QG de campagne municipale de Paris 2026 avec son mouvement "Changer Paris", de nombreux partisans y sont conviés.</t>
  </si>
  <si>
    <t>Dernière de "Lamomali Tour" de 'M' à Bercy</t>
  </si>
  <si>
    <t>Bercy, Paris · 17 décembre 2025</t>
  </si>
  <si>
    <t>Paris 12ème · 16 octobre 2025</t>
  </si>
  <si>
    <t>Circuit des 24h du Mans · 5 octobre 2025</t>
  </si>
  <si>
    <t>Circuit des 24h du Mans · 4 octobre 2025</t>
  </si>
  <si>
    <t>Porte Ouverte EFJ : salon des écoles de journalisme</t>
  </si>
  <si>
    <t>Paris 15ème · 8 novembre 2025</t>
  </si>
  <si>
    <t>Campagne de Dati : Tractage</t>
  </si>
  <si>
    <t>Le stand EFJ au salon des écoles de journalisme et des métiers de l'information.</t>
  </si>
  <si>
    <t>Le chanteur 'M' clotûre sa tournée à l'Accor Arena Bercy à Paris.</t>
  </si>
  <si>
    <t>Les partisans de Rachida Dati tractes dans l'ensemble des arrondissements de Paris, içi Paris centre représenter par Aurélien Veron.</t>
  </si>
  <si>
    <t>Paris 1er · 19 octobre 2025</t>
  </si>
  <si>
    <t>EFJ</t>
  </si>
  <si>
    <t>200 ans du Figaro : Concert de Patrick Bruel</t>
  </si>
  <si>
    <t>Patrick Bruel anime la scène du Grand Palais pour l'exposition des 200 du Figaro à Paris.</t>
  </si>
  <si>
    <t>Grand Palais, Paris ·15 janvier 2026</t>
  </si>
  <si>
    <t>200 ans du Figaro</t>
  </si>
  <si>
    <t>A l'occasion de leurs 200 ans, Le Figaro a organisé une exposition au Grand Palais réservée à leurs abonnés</t>
  </si>
  <si>
    <t>Campagne de Dati : Visite des bars LGBT+</t>
  </si>
  <si>
    <t>Rachida Dati et son élu à Paris Centre Aurélien Veron visitent les réstaurateurs LGBTQIA+</t>
  </si>
  <si>
    <t>Paris · 28 octobre 2025</t>
  </si>
  <si>
    <t>Campagne de Dati : Rencontre des commercants du 12ème</t>
  </si>
  <si>
    <t>Rachida Dati et son élue à Paris 12ème Valérie Montandon visite les commercants.</t>
  </si>
  <si>
    <t>Rachida Dati et son élu à Paris Centre Aurélien Veron visitent les réstaurateurs LGBTQIA+.</t>
  </si>
  <si>
    <t>Paris 12ème · 29 novembre 2025</t>
  </si>
  <si>
    <t>Campagne de Dati : Visite d'un camps de sans abris à Paris Centre</t>
  </si>
  <si>
    <t>Rachida Dati et son élu à Paris Centre Aurélien Veron visitent des sans abris à Paris Centre devant un stade de sport municipale.</t>
  </si>
  <si>
    <t>Paris Centre · 28 octobre 2025</t>
  </si>
  <si>
    <t>Reportage à Rungis : Emarquement de viande</t>
  </si>
  <si>
    <t>Lors d'un reportage sur la vie nocturne de Rungis, des bouchers chargent leur camion de viande.</t>
  </si>
  <si>
    <t>Rungis · 9 décembre 2025</t>
  </si>
  <si>
    <t>Société</t>
  </si>
  <si>
    <t>Halloween à Lille</t>
  </si>
  <si>
    <t>Les jeunes tournent en dérision le cambriolage des bijoux du Louvre à Paris lors de la fête d'Halloween à Lille.</t>
  </si>
  <si>
    <t>Lille · 1 novembre 2025</t>
  </si>
  <si>
    <t>Musée juif de Berlin</t>
  </si>
  <si>
    <t>Installation Shalechet de Menashe Kadishman au musée juif de Berlin.</t>
  </si>
  <si>
    <t>Berlin · 27 décembre 2025</t>
  </si>
  <si>
    <t>Plafond du parlement de Brelin</t>
  </si>
  <si>
    <t>Visite du Reichstag à Berlin lieu du parlement berlinois.</t>
  </si>
  <si>
    <t>Fort épisode neigeux à Paris</t>
  </si>
  <si>
    <t>Grosse vague de neige à Paris, la capitale est au ralenti, presque aucune voiture dans les rues et des embouteillages historiques en périphérie.</t>
  </si>
  <si>
    <t>Paris · 7 janvier 2026</t>
  </si>
  <si>
    <t>Conférence de Média En Seine</t>
  </si>
  <si>
    <t>Conférence sur les évolutions du métier de journaliste nottament les questions IA, au Studio 104 de FranceInfo.</t>
  </si>
  <si>
    <t>Paris · 15 janvier 2026</t>
  </si>
  <si>
    <t>Procès en Appel de Marine Le Pen</t>
  </si>
  <si>
    <t>Marine Le Pen impliqué dans l'affaire des emplois fictifs d'eurodéputés RN et FN au Palais de Justice. Içi le carré presse devant la salle d'audience.</t>
  </si>
  <si>
    <t>Paris · 20 janvier 2026</t>
  </si>
  <si>
    <t>Reportage à Rungis : Un boucher</t>
  </si>
  <si>
    <t>Lors d'un reportage sur la vie nocturne de Rungis, un boucher se balade, blouse tachée de sang.</t>
  </si>
  <si>
    <t>Stand de la série HPI à la Braderie de Lille</t>
  </si>
  <si>
    <t>Opération promotionnelle de la série HPI mettant en vente de nombreux accessoires des tournages.</t>
  </si>
  <si>
    <t>Lille · 7 novembre 2025</t>
  </si>
  <si>
    <t>Corrida : Torreau dans une arène</t>
  </si>
  <si>
    <t>Torreau saignent à cause des "picadorès" en Espagne.</t>
  </si>
  <si>
    <t>Ondara · 9 aôut 2025</t>
  </si>
  <si>
    <t>Reportage à Rungis : Dock de chargement</t>
  </si>
  <si>
    <t>Lors d'un reportage sur la vie nocturne de Rungis, les camions sur les docks pour acheter leurs fruits et légumes.</t>
  </si>
  <si>
    <t>Studio EFJ</t>
  </si>
  <si>
    <t>Console de réalisateur d'émission dans le studio EFJ à Rapail 1.</t>
  </si>
  <si>
    <t>Paris · 4 février 2026</t>
  </si>
  <si>
    <t>Console de régiseur d'émission dans le studio EFJ à Rapail 1.</t>
  </si>
  <si>
    <t>Emmaüs Défi : collecte de mobilier</t>
  </si>
  <si>
    <t>Des personnes en insértion professionnelle d'Emmaüs Défi collecte des meubles chez un donnateur.</t>
  </si>
  <si>
    <t>Paris · 5 février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</si>
</sst>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connections" Target="connection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images!$G$1</c:f>
              <c:strCache>
                <c:ptCount val="1"/>
                <c:pt idx="0">
                  <c:v>alt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images!$B$2:$F$33</c:f>
              <c:strCache>
                <c:ptCount val="64"/>
                <c:pt idx="0">
                  <c:v>IMG_0028.JPEG</c:v>
                </c:pt>
                <c:pt idx="1">
                  <c:v>IMG_0043.JPEG</c:v>
                </c:pt>
                <c:pt idx="2">
                  <c:v>IMG_0157.JPG</c:v>
                </c:pt>
                <c:pt idx="3">
                  <c:v>IMG_0159.JPG</c:v>
                </c:pt>
                <c:pt idx="4">
                  <c:v>IMG_0170.JPG</c:v>
                </c:pt>
                <c:pt idx="5">
                  <c:v>IMG_0178.JPEG</c:v>
                </c:pt>
                <c:pt idx="6">
                  <c:v>IMG_0436.JPEG</c:v>
                </c:pt>
                <c:pt idx="7">
                  <c:v>IMG_0546.JPG</c:v>
                </c:pt>
                <c:pt idx="8">
                  <c:v>IMG_0610.JPEG</c:v>
                </c:pt>
                <c:pt idx="9">
                  <c:v>IMG_0631.JPEG</c:v>
                </c:pt>
                <c:pt idx="10">
                  <c:v>IMG_0829.JPG</c:v>
                </c:pt>
                <c:pt idx="11">
                  <c:v>IMG_0865.JPG</c:v>
                </c:pt>
                <c:pt idx="12">
                  <c:v>IMG_0869.JPEG</c:v>
                </c:pt>
                <c:pt idx="13">
                  <c:v>IMG_0901.JPG</c:v>
                </c:pt>
                <c:pt idx="14">
                  <c:v>IMG_0910.JPG</c:v>
                </c:pt>
                <c:pt idx="15">
                  <c:v>IMG_1036.JPEG</c:v>
                </c:pt>
                <c:pt idx="16">
                  <c:v>IMG_1097.JPG</c:v>
                </c:pt>
                <c:pt idx="17">
                  <c:v>IMG_1238.JPEG</c:v>
                </c:pt>
                <c:pt idx="18">
                  <c:v>IMG_1266.JPEG</c:v>
                </c:pt>
                <c:pt idx="19">
                  <c:v>IMG_1411.JPEG</c:v>
                </c:pt>
                <c:pt idx="20">
                  <c:v>IMG_1427.JPEG</c:v>
                </c:pt>
                <c:pt idx="21">
                  <c:v>IMG_1584.JPEG</c:v>
                </c:pt>
                <c:pt idx="22">
                  <c:v>IMG_1691.JPEG</c:v>
                </c:pt>
                <c:pt idx="23">
                  <c:v>IMG_1846.JPEG</c:v>
                </c:pt>
                <c:pt idx="24">
                  <c:v>IMG_1847.JPEG</c:v>
                </c:pt>
                <c:pt idx="25">
                  <c:v>IMG_1917.JPG</c:v>
                </c:pt>
                <c:pt idx="26">
                  <c:v>IMG_3548.JPEG</c:v>
                </c:pt>
                <c:pt idx="27">
                  <c:v>IMG_5390.JPEG</c:v>
                </c:pt>
                <c:pt idx="28">
                  <c:v>P1031928.JPG</c:v>
                </c:pt>
                <c:pt idx="29">
                  <c:v>P1031986.JPG</c:v>
                </c:pt>
                <c:pt idx="30">
                  <c:v>P1031987.JPG</c:v>
                </c:pt>
                <c:pt idx="31">
                  <c:v>P1032031.JPG</c:v>
                </c:pt>
                <c:pt idx="32">
                  <c:v>Concert du GP Explorer Last Race</c:v>
                </c:pt>
                <c:pt idx="33">
                  <c:v>SDM au GP Explorer Last Race</c:v>
                </c:pt>
                <c:pt idx="34">
                  <c:v>Discours d'ouverture du QG de campagne de Rachida Dati</c:v>
                </c:pt>
                <c:pt idx="35">
                  <c:v>Discours d'ouverture du QG de campagne de Rachida Dati</c:v>
                </c:pt>
                <c:pt idx="36">
                  <c:v>Ouverture du QG de campagne municipale de Rachida Dati pour Paris</c:v>
                </c:pt>
                <c:pt idx="37">
                  <c:v>Dernière de "Lamomali Tour" de 'M' à Bercy</c:v>
                </c:pt>
                <c:pt idx="38">
                  <c:v>Porte Ouverte EFJ : salon des écoles de journalisme</c:v>
                </c:pt>
                <c:pt idx="39">
                  <c:v>Campagne de Dati : Tractage</c:v>
                </c:pt>
                <c:pt idx="40">
                  <c:v>200 ans du Figaro : Concert de Patrick Bruel</c:v>
                </c:pt>
                <c:pt idx="41">
                  <c:v>200 ans du Figaro</c:v>
                </c:pt>
                <c:pt idx="42">
                  <c:v>Campagne de Dati : Visite des bars LGBT+</c:v>
                </c:pt>
                <c:pt idx="43">
                  <c:v>Campagne de Dati : Visite des bars LGBT+</c:v>
                </c:pt>
                <c:pt idx="44">
                  <c:v>Campagne de Dati : Rencontre des commercants du 12ème</c:v>
                </c:pt>
                <c:pt idx="45">
                  <c:v>Campagne de Dati : Visite d'un camps de sans abris à Paris Centre</c:v>
                </c:pt>
                <c:pt idx="46">
                  <c:v>Campagne de Dati : Visite d'un camps de sans abris à Paris Centre</c:v>
                </c:pt>
                <c:pt idx="47">
                  <c:v>Reportage à Rungis : Emarquement de viande</c:v>
                </c:pt>
                <c:pt idx="48">
                  <c:v>Halloween à Lille</c:v>
                </c:pt>
                <c:pt idx="49">
                  <c:v>Musée juif de Berlin</c:v>
                </c:pt>
                <c:pt idx="50">
                  <c:v>Plafond du parlement de Brelin</c:v>
                </c:pt>
                <c:pt idx="51">
                  <c:v>Fort épisode neigeux à Paris</c:v>
                </c:pt>
                <c:pt idx="52">
                  <c:v>Fort épisode neigeux à Paris</c:v>
                </c:pt>
                <c:pt idx="53">
                  <c:v>Conférence de Média En Seine</c:v>
                </c:pt>
                <c:pt idx="54">
                  <c:v>Procès en Appel de Marine Le Pen</c:v>
                </c:pt>
                <c:pt idx="57">
                  <c:v>Reportage à Rungis : Un boucher</c:v>
                </c:pt>
                <c:pt idx="58">
                  <c:v>Stand de la série HPI à la Braderie de Lille</c:v>
                </c:pt>
                <c:pt idx="59">
                  <c:v>Corrida : Torreau dans une arène</c:v>
                </c:pt>
                <c:pt idx="60">
                  <c:v>Reportage à Rungis : Dock de chargement</c:v>
                </c:pt>
                <c:pt idx="61">
                  <c:v>Studio EFJ</c:v>
                </c:pt>
                <c:pt idx="62">
                  <c:v>Studio EFJ</c:v>
                </c:pt>
                <c:pt idx="63">
                  <c:v>Emmaüs Défi : collecte de mobilier</c:v>
                </c:pt>
              </c:strCache>
            </c:strRef>
          </c:cat>
          <c:val>
            <c:numRef>
              <c:f>images!$G$2:$G$33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6-4D5B-B930-041C55323250}"/>
            </c:ext>
          </c:extLst>
        </c:ser>
        <c:ser>
          <c:idx val="1"/>
          <c:order val="1"/>
          <c:tx>
            <c:strRef>
              <c:f>images!$H$1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images!$B$2:$F$33</c:f>
              <c:strCache>
                <c:ptCount val="64"/>
                <c:pt idx="0">
                  <c:v>IMG_0028.JPEG</c:v>
                </c:pt>
                <c:pt idx="1">
                  <c:v>IMG_0043.JPEG</c:v>
                </c:pt>
                <c:pt idx="2">
                  <c:v>IMG_0157.JPG</c:v>
                </c:pt>
                <c:pt idx="3">
                  <c:v>IMG_0159.JPG</c:v>
                </c:pt>
                <c:pt idx="4">
                  <c:v>IMG_0170.JPG</c:v>
                </c:pt>
                <c:pt idx="5">
                  <c:v>IMG_0178.JPEG</c:v>
                </c:pt>
                <c:pt idx="6">
                  <c:v>IMG_0436.JPEG</c:v>
                </c:pt>
                <c:pt idx="7">
                  <c:v>IMG_0546.JPG</c:v>
                </c:pt>
                <c:pt idx="8">
                  <c:v>IMG_0610.JPEG</c:v>
                </c:pt>
                <c:pt idx="9">
                  <c:v>IMG_0631.JPEG</c:v>
                </c:pt>
                <c:pt idx="10">
                  <c:v>IMG_0829.JPG</c:v>
                </c:pt>
                <c:pt idx="11">
                  <c:v>IMG_0865.JPG</c:v>
                </c:pt>
                <c:pt idx="12">
                  <c:v>IMG_0869.JPEG</c:v>
                </c:pt>
                <c:pt idx="13">
                  <c:v>IMG_0901.JPG</c:v>
                </c:pt>
                <c:pt idx="14">
                  <c:v>IMG_0910.JPG</c:v>
                </c:pt>
                <c:pt idx="15">
                  <c:v>IMG_1036.JPEG</c:v>
                </c:pt>
                <c:pt idx="16">
                  <c:v>IMG_1097.JPG</c:v>
                </c:pt>
                <c:pt idx="17">
                  <c:v>IMG_1238.JPEG</c:v>
                </c:pt>
                <c:pt idx="18">
                  <c:v>IMG_1266.JPEG</c:v>
                </c:pt>
                <c:pt idx="19">
                  <c:v>IMG_1411.JPEG</c:v>
                </c:pt>
                <c:pt idx="20">
                  <c:v>IMG_1427.JPEG</c:v>
                </c:pt>
                <c:pt idx="21">
                  <c:v>IMG_1584.JPEG</c:v>
                </c:pt>
                <c:pt idx="22">
                  <c:v>IMG_1691.JPEG</c:v>
                </c:pt>
                <c:pt idx="23">
                  <c:v>IMG_1846.JPEG</c:v>
                </c:pt>
                <c:pt idx="24">
                  <c:v>IMG_1847.JPEG</c:v>
                </c:pt>
                <c:pt idx="25">
                  <c:v>IMG_1917.JPG</c:v>
                </c:pt>
                <c:pt idx="26">
                  <c:v>IMG_3548.JPEG</c:v>
                </c:pt>
                <c:pt idx="27">
                  <c:v>IMG_5390.JPEG</c:v>
                </c:pt>
                <c:pt idx="28">
                  <c:v>P1031928.JPG</c:v>
                </c:pt>
                <c:pt idx="29">
                  <c:v>P1031986.JPG</c:v>
                </c:pt>
                <c:pt idx="30">
                  <c:v>P1031987.JPG</c:v>
                </c:pt>
                <c:pt idx="31">
                  <c:v>P1032031.JPG</c:v>
                </c:pt>
                <c:pt idx="32">
                  <c:v>Concert du GP Explorer Last Race</c:v>
                </c:pt>
                <c:pt idx="33">
                  <c:v>SDM au GP Explorer Last Race</c:v>
                </c:pt>
                <c:pt idx="34">
                  <c:v>Discours d'ouverture du QG de campagne de Rachida Dati</c:v>
                </c:pt>
                <c:pt idx="35">
                  <c:v>Discours d'ouverture du QG de campagne de Rachida Dati</c:v>
                </c:pt>
                <c:pt idx="36">
                  <c:v>Ouverture du QG de campagne municipale de Rachida Dati pour Paris</c:v>
                </c:pt>
                <c:pt idx="37">
                  <c:v>Dernière de "Lamomali Tour" de 'M' à Bercy</c:v>
                </c:pt>
                <c:pt idx="38">
                  <c:v>Porte Ouverte EFJ : salon des écoles de journalisme</c:v>
                </c:pt>
                <c:pt idx="39">
                  <c:v>Campagne de Dati : Tractage</c:v>
                </c:pt>
                <c:pt idx="40">
                  <c:v>200 ans du Figaro : Concert de Patrick Bruel</c:v>
                </c:pt>
                <c:pt idx="41">
                  <c:v>200 ans du Figaro</c:v>
                </c:pt>
                <c:pt idx="42">
                  <c:v>Campagne de Dati : Visite des bars LGBT+</c:v>
                </c:pt>
                <c:pt idx="43">
                  <c:v>Campagne de Dati : Visite des bars LGBT+</c:v>
                </c:pt>
                <c:pt idx="44">
                  <c:v>Campagne de Dati : Rencontre des commercants du 12ème</c:v>
                </c:pt>
                <c:pt idx="45">
                  <c:v>Campagne de Dati : Visite d'un camps de sans abris à Paris Centre</c:v>
                </c:pt>
                <c:pt idx="46">
                  <c:v>Campagne de Dati : Visite d'un camps de sans abris à Paris Centre</c:v>
                </c:pt>
                <c:pt idx="47">
                  <c:v>Reportage à Rungis : Emarquement de viande</c:v>
                </c:pt>
                <c:pt idx="48">
                  <c:v>Halloween à Lille</c:v>
                </c:pt>
                <c:pt idx="49">
                  <c:v>Musée juif de Berlin</c:v>
                </c:pt>
                <c:pt idx="50">
                  <c:v>Plafond du parlement de Brelin</c:v>
                </c:pt>
                <c:pt idx="51">
                  <c:v>Fort épisode neigeux à Paris</c:v>
                </c:pt>
                <c:pt idx="52">
                  <c:v>Fort épisode neigeux à Paris</c:v>
                </c:pt>
                <c:pt idx="53">
                  <c:v>Conférence de Média En Seine</c:v>
                </c:pt>
                <c:pt idx="54">
                  <c:v>Procès en Appel de Marine Le Pen</c:v>
                </c:pt>
                <c:pt idx="57">
                  <c:v>Reportage à Rungis : Un boucher</c:v>
                </c:pt>
                <c:pt idx="58">
                  <c:v>Stand de la série HPI à la Braderie de Lille</c:v>
                </c:pt>
                <c:pt idx="59">
                  <c:v>Corrida : Torreau dans une arène</c:v>
                </c:pt>
                <c:pt idx="60">
                  <c:v>Reportage à Rungis : Dock de chargement</c:v>
                </c:pt>
                <c:pt idx="61">
                  <c:v>Studio EFJ</c:v>
                </c:pt>
                <c:pt idx="62">
                  <c:v>Studio EFJ</c:v>
                </c:pt>
                <c:pt idx="63">
                  <c:v>Emmaüs Défi : collecte de mobilier</c:v>
                </c:pt>
              </c:strCache>
            </c:strRef>
          </c:cat>
          <c:val>
            <c:numRef>
              <c:f>images!$H$2:$H$33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6-4D5B-B930-041C55323250}"/>
            </c:ext>
          </c:extLst>
        </c:ser>
        <c:ser>
          <c:idx val="2"/>
          <c:order val="2"/>
          <c:tx>
            <c:strRef>
              <c:f>images!$I$1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images!$B$2:$F$33</c:f>
              <c:strCache>
                <c:ptCount val="64"/>
                <c:pt idx="0">
                  <c:v>IMG_0028.JPEG</c:v>
                </c:pt>
                <c:pt idx="1">
                  <c:v>IMG_0043.JPEG</c:v>
                </c:pt>
                <c:pt idx="2">
                  <c:v>IMG_0157.JPG</c:v>
                </c:pt>
                <c:pt idx="3">
                  <c:v>IMG_0159.JPG</c:v>
                </c:pt>
                <c:pt idx="4">
                  <c:v>IMG_0170.JPG</c:v>
                </c:pt>
                <c:pt idx="5">
                  <c:v>IMG_0178.JPEG</c:v>
                </c:pt>
                <c:pt idx="6">
                  <c:v>IMG_0436.JPEG</c:v>
                </c:pt>
                <c:pt idx="7">
                  <c:v>IMG_0546.JPG</c:v>
                </c:pt>
                <c:pt idx="8">
                  <c:v>IMG_0610.JPEG</c:v>
                </c:pt>
                <c:pt idx="9">
                  <c:v>IMG_0631.JPEG</c:v>
                </c:pt>
                <c:pt idx="10">
                  <c:v>IMG_0829.JPG</c:v>
                </c:pt>
                <c:pt idx="11">
                  <c:v>IMG_0865.JPG</c:v>
                </c:pt>
                <c:pt idx="12">
                  <c:v>IMG_0869.JPEG</c:v>
                </c:pt>
                <c:pt idx="13">
                  <c:v>IMG_0901.JPG</c:v>
                </c:pt>
                <c:pt idx="14">
                  <c:v>IMG_0910.JPG</c:v>
                </c:pt>
                <c:pt idx="15">
                  <c:v>IMG_1036.JPEG</c:v>
                </c:pt>
                <c:pt idx="16">
                  <c:v>IMG_1097.JPG</c:v>
                </c:pt>
                <c:pt idx="17">
                  <c:v>IMG_1238.JPEG</c:v>
                </c:pt>
                <c:pt idx="18">
                  <c:v>IMG_1266.JPEG</c:v>
                </c:pt>
                <c:pt idx="19">
                  <c:v>IMG_1411.JPEG</c:v>
                </c:pt>
                <c:pt idx="20">
                  <c:v>IMG_1427.JPEG</c:v>
                </c:pt>
                <c:pt idx="21">
                  <c:v>IMG_1584.JPEG</c:v>
                </c:pt>
                <c:pt idx="22">
                  <c:v>IMG_1691.JPEG</c:v>
                </c:pt>
                <c:pt idx="23">
                  <c:v>IMG_1846.JPEG</c:v>
                </c:pt>
                <c:pt idx="24">
                  <c:v>IMG_1847.JPEG</c:v>
                </c:pt>
                <c:pt idx="25">
                  <c:v>IMG_1917.JPG</c:v>
                </c:pt>
                <c:pt idx="26">
                  <c:v>IMG_3548.JPEG</c:v>
                </c:pt>
                <c:pt idx="27">
                  <c:v>IMG_5390.JPEG</c:v>
                </c:pt>
                <c:pt idx="28">
                  <c:v>P1031928.JPG</c:v>
                </c:pt>
                <c:pt idx="29">
                  <c:v>P1031986.JPG</c:v>
                </c:pt>
                <c:pt idx="30">
                  <c:v>P1031987.JPG</c:v>
                </c:pt>
                <c:pt idx="31">
                  <c:v>P1032031.JPG</c:v>
                </c:pt>
                <c:pt idx="32">
                  <c:v>Concert du GP Explorer Last Race</c:v>
                </c:pt>
                <c:pt idx="33">
                  <c:v>SDM au GP Explorer Last Race</c:v>
                </c:pt>
                <c:pt idx="34">
                  <c:v>Discours d'ouverture du QG de campagne de Rachida Dati</c:v>
                </c:pt>
                <c:pt idx="35">
                  <c:v>Discours d'ouverture du QG de campagne de Rachida Dati</c:v>
                </c:pt>
                <c:pt idx="36">
                  <c:v>Ouverture du QG de campagne municipale de Rachida Dati pour Paris</c:v>
                </c:pt>
                <c:pt idx="37">
                  <c:v>Dernière de "Lamomali Tour" de 'M' à Bercy</c:v>
                </c:pt>
                <c:pt idx="38">
                  <c:v>Porte Ouverte EFJ : salon des écoles de journalisme</c:v>
                </c:pt>
                <c:pt idx="39">
                  <c:v>Campagne de Dati : Tractage</c:v>
                </c:pt>
                <c:pt idx="40">
                  <c:v>200 ans du Figaro : Concert de Patrick Bruel</c:v>
                </c:pt>
                <c:pt idx="41">
                  <c:v>200 ans du Figaro</c:v>
                </c:pt>
                <c:pt idx="42">
                  <c:v>Campagne de Dati : Visite des bars LGBT+</c:v>
                </c:pt>
                <c:pt idx="43">
                  <c:v>Campagne de Dati : Visite des bars LGBT+</c:v>
                </c:pt>
                <c:pt idx="44">
                  <c:v>Campagne de Dati : Rencontre des commercants du 12ème</c:v>
                </c:pt>
                <c:pt idx="45">
                  <c:v>Campagne de Dati : Visite d'un camps de sans abris à Paris Centre</c:v>
                </c:pt>
                <c:pt idx="46">
                  <c:v>Campagne de Dati : Visite d'un camps de sans abris à Paris Centre</c:v>
                </c:pt>
                <c:pt idx="47">
                  <c:v>Reportage à Rungis : Emarquement de viande</c:v>
                </c:pt>
                <c:pt idx="48">
                  <c:v>Halloween à Lille</c:v>
                </c:pt>
                <c:pt idx="49">
                  <c:v>Musée juif de Berlin</c:v>
                </c:pt>
                <c:pt idx="50">
                  <c:v>Plafond du parlement de Brelin</c:v>
                </c:pt>
                <c:pt idx="51">
                  <c:v>Fort épisode neigeux à Paris</c:v>
                </c:pt>
                <c:pt idx="52">
                  <c:v>Fort épisode neigeux à Paris</c:v>
                </c:pt>
                <c:pt idx="53">
                  <c:v>Conférence de Média En Seine</c:v>
                </c:pt>
                <c:pt idx="54">
                  <c:v>Procès en Appel de Marine Le Pen</c:v>
                </c:pt>
                <c:pt idx="57">
                  <c:v>Reportage à Rungis : Un boucher</c:v>
                </c:pt>
                <c:pt idx="58">
                  <c:v>Stand de la série HPI à la Braderie de Lille</c:v>
                </c:pt>
                <c:pt idx="59">
                  <c:v>Corrida : Torreau dans une arène</c:v>
                </c:pt>
                <c:pt idx="60">
                  <c:v>Reportage à Rungis : Dock de chargement</c:v>
                </c:pt>
                <c:pt idx="61">
                  <c:v>Studio EFJ</c:v>
                </c:pt>
                <c:pt idx="62">
                  <c:v>Studio EFJ</c:v>
                </c:pt>
                <c:pt idx="63">
                  <c:v>Emmaüs Défi : collecte de mobilier</c:v>
                </c:pt>
              </c:strCache>
            </c:strRef>
          </c:cat>
          <c:val>
            <c:numRef>
              <c:f>images!$I$2:$I$33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16-4D5B-B930-041C55323250}"/>
            </c:ext>
          </c:extLst>
        </c:ser>
        <c:ser>
          <c:idx val="3"/>
          <c:order val="3"/>
          <c:tx>
            <c:strRef>
              <c:f>images!$J$1</c:f>
              <c:strCache>
                <c:ptCount val="1"/>
                <c:pt idx="0">
                  <c:v>Appercu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images!$B$2:$F$33</c:f>
              <c:strCache>
                <c:ptCount val="64"/>
                <c:pt idx="0">
                  <c:v>IMG_0028.JPEG</c:v>
                </c:pt>
                <c:pt idx="1">
                  <c:v>IMG_0043.JPEG</c:v>
                </c:pt>
                <c:pt idx="2">
                  <c:v>IMG_0157.JPG</c:v>
                </c:pt>
                <c:pt idx="3">
                  <c:v>IMG_0159.JPG</c:v>
                </c:pt>
                <c:pt idx="4">
                  <c:v>IMG_0170.JPG</c:v>
                </c:pt>
                <c:pt idx="5">
                  <c:v>IMG_0178.JPEG</c:v>
                </c:pt>
                <c:pt idx="6">
                  <c:v>IMG_0436.JPEG</c:v>
                </c:pt>
                <c:pt idx="7">
                  <c:v>IMG_0546.JPG</c:v>
                </c:pt>
                <c:pt idx="8">
                  <c:v>IMG_0610.JPEG</c:v>
                </c:pt>
                <c:pt idx="9">
                  <c:v>IMG_0631.JPEG</c:v>
                </c:pt>
                <c:pt idx="10">
                  <c:v>IMG_0829.JPG</c:v>
                </c:pt>
                <c:pt idx="11">
                  <c:v>IMG_0865.JPG</c:v>
                </c:pt>
                <c:pt idx="12">
                  <c:v>IMG_0869.JPEG</c:v>
                </c:pt>
                <c:pt idx="13">
                  <c:v>IMG_0901.JPG</c:v>
                </c:pt>
                <c:pt idx="14">
                  <c:v>IMG_0910.JPG</c:v>
                </c:pt>
                <c:pt idx="15">
                  <c:v>IMG_1036.JPEG</c:v>
                </c:pt>
                <c:pt idx="16">
                  <c:v>IMG_1097.JPG</c:v>
                </c:pt>
                <c:pt idx="17">
                  <c:v>IMG_1238.JPEG</c:v>
                </c:pt>
                <c:pt idx="18">
                  <c:v>IMG_1266.JPEG</c:v>
                </c:pt>
                <c:pt idx="19">
                  <c:v>IMG_1411.JPEG</c:v>
                </c:pt>
                <c:pt idx="20">
                  <c:v>IMG_1427.JPEG</c:v>
                </c:pt>
                <c:pt idx="21">
                  <c:v>IMG_1584.JPEG</c:v>
                </c:pt>
                <c:pt idx="22">
                  <c:v>IMG_1691.JPEG</c:v>
                </c:pt>
                <c:pt idx="23">
                  <c:v>IMG_1846.JPEG</c:v>
                </c:pt>
                <c:pt idx="24">
                  <c:v>IMG_1847.JPEG</c:v>
                </c:pt>
                <c:pt idx="25">
                  <c:v>IMG_1917.JPG</c:v>
                </c:pt>
                <c:pt idx="26">
                  <c:v>IMG_3548.JPEG</c:v>
                </c:pt>
                <c:pt idx="27">
                  <c:v>IMG_5390.JPEG</c:v>
                </c:pt>
                <c:pt idx="28">
                  <c:v>P1031928.JPG</c:v>
                </c:pt>
                <c:pt idx="29">
                  <c:v>P1031986.JPG</c:v>
                </c:pt>
                <c:pt idx="30">
                  <c:v>P1031987.JPG</c:v>
                </c:pt>
                <c:pt idx="31">
                  <c:v>P1032031.JPG</c:v>
                </c:pt>
                <c:pt idx="32">
                  <c:v>Concert du GP Explorer Last Race</c:v>
                </c:pt>
                <c:pt idx="33">
                  <c:v>SDM au GP Explorer Last Race</c:v>
                </c:pt>
                <c:pt idx="34">
                  <c:v>Discours d'ouverture du QG de campagne de Rachida Dati</c:v>
                </c:pt>
                <c:pt idx="35">
                  <c:v>Discours d'ouverture du QG de campagne de Rachida Dati</c:v>
                </c:pt>
                <c:pt idx="36">
                  <c:v>Ouverture du QG de campagne municipale de Rachida Dati pour Paris</c:v>
                </c:pt>
                <c:pt idx="37">
                  <c:v>Dernière de "Lamomali Tour" de 'M' à Bercy</c:v>
                </c:pt>
                <c:pt idx="38">
                  <c:v>Porte Ouverte EFJ : salon des écoles de journalisme</c:v>
                </c:pt>
                <c:pt idx="39">
                  <c:v>Campagne de Dati : Tractage</c:v>
                </c:pt>
                <c:pt idx="40">
                  <c:v>200 ans du Figaro : Concert de Patrick Bruel</c:v>
                </c:pt>
                <c:pt idx="41">
                  <c:v>200 ans du Figaro</c:v>
                </c:pt>
                <c:pt idx="42">
                  <c:v>Campagne de Dati : Visite des bars LGBT+</c:v>
                </c:pt>
                <c:pt idx="43">
                  <c:v>Campagne de Dati : Visite des bars LGBT+</c:v>
                </c:pt>
                <c:pt idx="44">
                  <c:v>Campagne de Dati : Rencontre des commercants du 12ème</c:v>
                </c:pt>
                <c:pt idx="45">
                  <c:v>Campagne de Dati : Visite d'un camps de sans abris à Paris Centre</c:v>
                </c:pt>
                <c:pt idx="46">
                  <c:v>Campagne de Dati : Visite d'un camps de sans abris à Paris Centre</c:v>
                </c:pt>
                <c:pt idx="47">
                  <c:v>Reportage à Rungis : Emarquement de viande</c:v>
                </c:pt>
                <c:pt idx="48">
                  <c:v>Halloween à Lille</c:v>
                </c:pt>
                <c:pt idx="49">
                  <c:v>Musée juif de Berlin</c:v>
                </c:pt>
                <c:pt idx="50">
                  <c:v>Plafond du parlement de Brelin</c:v>
                </c:pt>
                <c:pt idx="51">
                  <c:v>Fort épisode neigeux à Paris</c:v>
                </c:pt>
                <c:pt idx="52">
                  <c:v>Fort épisode neigeux à Paris</c:v>
                </c:pt>
                <c:pt idx="53">
                  <c:v>Conférence de Média En Seine</c:v>
                </c:pt>
                <c:pt idx="54">
                  <c:v>Procès en Appel de Marine Le Pen</c:v>
                </c:pt>
                <c:pt idx="57">
                  <c:v>Reportage à Rungis : Un boucher</c:v>
                </c:pt>
                <c:pt idx="58">
                  <c:v>Stand de la série HPI à la Braderie de Lille</c:v>
                </c:pt>
                <c:pt idx="59">
                  <c:v>Corrida : Torreau dans une arène</c:v>
                </c:pt>
                <c:pt idx="60">
                  <c:v>Reportage à Rungis : Dock de chargement</c:v>
                </c:pt>
                <c:pt idx="61">
                  <c:v>Studio EFJ</c:v>
                </c:pt>
                <c:pt idx="62">
                  <c:v>Studio EFJ</c:v>
                </c:pt>
                <c:pt idx="63">
                  <c:v>Emmaüs Défi : collecte de mobilier</c:v>
                </c:pt>
              </c:strCache>
            </c:strRef>
          </c:cat>
          <c:val>
            <c:numRef>
              <c:f>images!$J$2:$J$33</c:f>
            </c:numRef>
          </c:val>
          <c:extLst>
            <c:ext xmlns:c16="http://schemas.microsoft.com/office/drawing/2014/chart" uri="{C3380CC4-5D6E-409C-BE32-E72D297353CC}">
              <c16:uniqueId val="{00000003-8116-4D5B-B930-041C55323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010687"/>
        <c:axId val="435005887"/>
      </c:barChart>
      <c:catAx>
        <c:axId val="43501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005887"/>
        <c:crosses val="autoZero"/>
        <c:auto val="1"/>
        <c:lblAlgn val="ctr"/>
        <c:lblOffset val="100"/>
        <c:noMultiLvlLbl val="0"/>
      </c:catAx>
      <c:valAx>
        <c:axId val="43500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3501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350A7F-1164-452C-8AE6-7244CD4FA0D3}">
  <sheetPr codeName="Graphique1"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12CD0DF-FB6A-0A19-30D0-480DBA5D79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7E9F4C8-39B0-4223-B46D-95BD0A5CB8B4}" autoFormatId="16" applyNumberFormats="0" applyBorderFormats="0" applyFontFormats="0" applyPatternFormats="0" applyAlignmentFormats="0" applyWidthHeightFormats="0">
  <queryTableRefresh nextId="11" unboundColumnsRight="5">
    <queryTableFields count="9">
      <queryTableField id="1" name="Name" tableColumnId="1"/>
      <queryTableField id="2" name="Extension" tableColumnId="2"/>
      <queryTableField id="4" name="Date created" tableColumnId="4"/>
      <queryTableField id="5" name="Folder Path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  <queryTableDeletedFields count="1">
      <deletedField name="Date accessed"/>
    </queryTableDeleted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23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79AF0-26F6-47CD-9D36-8348C6A2426C}" name="images" displayName="images" ref="B1:J33" tableType="queryTable" totalsRowShown="0">
  <autoFilter ref="B1:J33" xr:uid="{AC679AF0-26F6-47CD-9D36-8348C6A2426C}"/>
  <tableColumns count="9">
    <tableColumn id="1" xr3:uid="{2C2CC611-736C-4AFE-A090-089E1E378883}" uniqueName="1" name="Name" queryTableFieldId="1" dataDxfId="8"/>
    <tableColumn id="2" xr3:uid="{4117748B-4A3E-4804-8631-FE49D934B157}" uniqueName="2" name="Extension" queryTableFieldId="2" dataDxfId="7"/>
    <tableColumn id="4" xr3:uid="{B679A22B-A8F7-4CBA-86AB-E56F3654B246}" uniqueName="4" name="Date created" queryTableFieldId="4" dataDxfId="6"/>
    <tableColumn id="5" xr3:uid="{D450E129-10D6-41D8-94DA-BEE52C500E20}" uniqueName="5" name="Folder Path" queryTableFieldId="5" dataDxfId="5"/>
    <tableColumn id="6" xr3:uid="{4C2F29E7-D60E-4445-BC0A-5A59EA39A446}" uniqueName="6" name="title" queryTableFieldId="6" dataDxfId="4"/>
    <tableColumn id="7" xr3:uid="{C2E4ED4A-A459-4A3A-90B0-18A5FD9A9FC6}" uniqueName="7" name="alt" queryTableFieldId="7" dataDxfId="3"/>
    <tableColumn id="8" xr3:uid="{BABAF33C-2261-409D-B97C-9E5947C4F321}" uniqueName="8" name="meta" queryTableFieldId="8" dataDxfId="2"/>
    <tableColumn id="9" xr3:uid="{1DB8510E-81DF-4BD2-A271-4C95C7A1FD72}" uniqueName="9" name="category" queryTableFieldId="9" dataDxfId="1"/>
    <tableColumn id="10" xr3:uid="{72EEE385-AE30-458E-8798-340CAB8CC277}" uniqueName="10" name="Appercu " queryTableFieldId="10" dataDxfId="0">
      <calculatedColumnFormula>_xlfn.IMAGE(_xlfn.CONCAT(images[[#This Row],[Folder Path]],"\",images[[#This Row],[Name]]),,0,,)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34B8-BA7A-432C-9D48-DD1C213D3A5E}">
  <sheetPr codeName="Feuil2"/>
  <dimension ref="A1:J51"/>
  <sheetViews>
    <sheetView tabSelected="1" zoomScale="85" zoomScaleNormal="85" workbookViewId="0">
      <selection activeCell="J1" sqref="J1:J1048576"/>
    </sheetView>
  </sheetViews>
  <sheetFormatPr baseColWidth="10" defaultRowHeight="14.4" x14ac:dyDescent="0.3"/>
  <cols>
    <col min="1" max="1" width="11.5546875" style="2"/>
    <col min="2" max="2" width="13.6640625" bestFit="1" customWidth="1"/>
    <col min="3" max="3" width="11.21875" hidden="1" customWidth="1"/>
    <col min="4" max="4" width="19.33203125" hidden="1" customWidth="1"/>
    <col min="5" max="5" width="52.33203125" hidden="1" customWidth="1"/>
    <col min="6" max="6" width="12.88671875" customWidth="1"/>
    <col min="7" max="7" width="15.5546875" customWidth="1"/>
    <col min="10" max="10" width="0" hidden="1" customWidth="1"/>
  </cols>
  <sheetData>
    <row r="1" spans="1:10" x14ac:dyDescent="0.3">
      <c r="A1" s="2" t="s">
        <v>45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4</v>
      </c>
      <c r="H1" t="s">
        <v>2</v>
      </c>
      <c r="I1" t="s">
        <v>3</v>
      </c>
      <c r="J1" t="s">
        <v>46</v>
      </c>
    </row>
    <row r="2" spans="1:10" x14ac:dyDescent="0.3">
      <c r="A2" s="2" cm="1">
        <f t="array" ref="A2:A51">_xlfn.SEQUENCE(50)</f>
        <v>1</v>
      </c>
      <c r="B2" t="s">
        <v>10</v>
      </c>
      <c r="C2" t="s">
        <v>11</v>
      </c>
      <c r="D2" s="1">
        <v>46099.645671840277</v>
      </c>
      <c r="E2" t="s">
        <v>12</v>
      </c>
      <c r="F2" t="s">
        <v>47</v>
      </c>
      <c r="G2" t="s">
        <v>51</v>
      </c>
      <c r="H2" t="s">
        <v>61</v>
      </c>
      <c r="I2" t="s">
        <v>48</v>
      </c>
      <c r="J2" t="e" vm="1">
        <f>_xlfn.IMAGE(_xlfn.CONCAT("images/" &amp; images[[#This Row],[Name]]),,0,,)</f>
        <v>#VALUE!</v>
      </c>
    </row>
    <row r="3" spans="1:10" x14ac:dyDescent="0.3">
      <c r="A3" s="2">
        <v>2</v>
      </c>
      <c r="B3" t="s">
        <v>13</v>
      </c>
      <c r="C3" t="s">
        <v>11</v>
      </c>
      <c r="D3" s="1">
        <v>46099.645672094906</v>
      </c>
      <c r="E3" t="s">
        <v>12</v>
      </c>
      <c r="F3" t="s">
        <v>49</v>
      </c>
      <c r="G3" t="s">
        <v>50</v>
      </c>
      <c r="H3" t="s">
        <v>60</v>
      </c>
      <c r="I3" t="s">
        <v>48</v>
      </c>
      <c r="J3" t="e" vm="1">
        <f>_xlfn.IMAGE(_xlfn.CONCAT(images[[#This Row],[Folder Path]],"\",images[[#This Row],[Name]]),,0,,)</f>
        <v>#VALUE!</v>
      </c>
    </row>
    <row r="4" spans="1:10" x14ac:dyDescent="0.3">
      <c r="A4" s="2">
        <v>3</v>
      </c>
      <c r="B4" t="s">
        <v>14</v>
      </c>
      <c r="C4" t="s">
        <v>15</v>
      </c>
      <c r="D4" s="1">
        <v>46099.645672280094</v>
      </c>
      <c r="E4" t="s">
        <v>12</v>
      </c>
      <c r="F4" t="s">
        <v>52</v>
      </c>
      <c r="G4" t="s">
        <v>53</v>
      </c>
      <c r="H4" t="s">
        <v>59</v>
      </c>
      <c r="I4" t="s">
        <v>54</v>
      </c>
      <c r="J4" t="e" vm="1">
        <f>_xlfn.IMAGE(_xlfn.CONCAT(images[[#This Row],[Folder Path]],"\",images[[#This Row],[Name]]),,0,,)</f>
        <v>#VALUE!</v>
      </c>
    </row>
    <row r="5" spans="1:10" x14ac:dyDescent="0.3">
      <c r="A5" s="2">
        <v>4</v>
      </c>
      <c r="B5" t="s">
        <v>16</v>
      </c>
      <c r="C5" t="s">
        <v>15</v>
      </c>
      <c r="D5" s="1">
        <v>46099.64567247685</v>
      </c>
      <c r="E5" t="s">
        <v>12</v>
      </c>
      <c r="F5" t="s">
        <v>52</v>
      </c>
      <c r="G5" t="s">
        <v>53</v>
      </c>
      <c r="H5" t="s">
        <v>59</v>
      </c>
      <c r="I5" t="s">
        <v>54</v>
      </c>
      <c r="J5" t="e" vm="1">
        <f>_xlfn.IMAGE(_xlfn.CONCAT(images[[#This Row],[Folder Path]],"\",images[[#This Row],[Name]]),,0,,)</f>
        <v>#VALUE!</v>
      </c>
    </row>
    <row r="6" spans="1:10" x14ac:dyDescent="0.3">
      <c r="A6" s="2">
        <v>5</v>
      </c>
      <c r="B6" t="s">
        <v>17</v>
      </c>
      <c r="C6" t="s">
        <v>15</v>
      </c>
      <c r="D6" s="1">
        <v>46099.645672662038</v>
      </c>
      <c r="E6" t="s">
        <v>12</v>
      </c>
      <c r="F6" t="s">
        <v>55</v>
      </c>
      <c r="G6" t="s">
        <v>56</v>
      </c>
      <c r="H6" t="s">
        <v>59</v>
      </c>
      <c r="I6" t="s">
        <v>54</v>
      </c>
      <c r="J6" t="e" vm="1">
        <f>_xlfn.IMAGE(_xlfn.CONCAT(images[[#This Row],[Folder Path]],"\",images[[#This Row],[Name]]),,0,,)</f>
        <v>#VALUE!</v>
      </c>
    </row>
    <row r="7" spans="1:10" x14ac:dyDescent="0.3">
      <c r="A7" s="2">
        <v>6</v>
      </c>
      <c r="B7" t="s">
        <v>18</v>
      </c>
      <c r="C7" t="s">
        <v>11</v>
      </c>
      <c r="D7" s="1">
        <v>46099.645672847226</v>
      </c>
      <c r="E7" t="s">
        <v>12</v>
      </c>
      <c r="F7" t="s">
        <v>57</v>
      </c>
      <c r="G7" t="s">
        <v>66</v>
      </c>
      <c r="H7" t="s">
        <v>58</v>
      </c>
      <c r="I7" t="s">
        <v>48</v>
      </c>
      <c r="J7" t="e" vm="1">
        <f>_xlfn.IMAGE(_xlfn.CONCAT(images[[#This Row],[Folder Path]],"\",images[[#This Row],[Name]]),,0,,)</f>
        <v>#VALUE!</v>
      </c>
    </row>
    <row r="8" spans="1:10" x14ac:dyDescent="0.3">
      <c r="A8" s="2">
        <v>7</v>
      </c>
      <c r="B8" t="s">
        <v>19</v>
      </c>
      <c r="C8" t="s">
        <v>11</v>
      </c>
      <c r="D8" s="1">
        <v>46099.64567302083</v>
      </c>
      <c r="E8" t="s">
        <v>12</v>
      </c>
      <c r="F8" t="s">
        <v>62</v>
      </c>
      <c r="G8" t="s">
        <v>65</v>
      </c>
      <c r="H8" t="s">
        <v>63</v>
      </c>
      <c r="I8" t="s">
        <v>69</v>
      </c>
      <c r="J8" t="e" vm="1">
        <f>_xlfn.IMAGE(_xlfn.CONCAT(images[[#This Row],[Folder Path]],"\",images[[#This Row],[Name]]),,0,,)</f>
        <v>#VALUE!</v>
      </c>
    </row>
    <row r="9" spans="1:10" x14ac:dyDescent="0.3">
      <c r="A9" s="2">
        <v>8</v>
      </c>
      <c r="B9" t="s">
        <v>20</v>
      </c>
      <c r="C9" t="s">
        <v>15</v>
      </c>
      <c r="D9" s="1">
        <v>46099.645673194442</v>
      </c>
      <c r="E9" t="s">
        <v>12</v>
      </c>
      <c r="F9" t="s">
        <v>64</v>
      </c>
      <c r="G9" t="s">
        <v>67</v>
      </c>
      <c r="H9" t="s">
        <v>68</v>
      </c>
      <c r="I9" t="s">
        <v>54</v>
      </c>
      <c r="J9" t="e" vm="1">
        <f>_xlfn.IMAGE(_xlfn.CONCAT(images[[#This Row],[Folder Path]],"\",images[[#This Row],[Name]]),,0,,)</f>
        <v>#VALUE!</v>
      </c>
    </row>
    <row r="10" spans="1:10" x14ac:dyDescent="0.3">
      <c r="A10" s="2">
        <v>9</v>
      </c>
      <c r="B10" t="s">
        <v>21</v>
      </c>
      <c r="C10" t="s">
        <v>11</v>
      </c>
      <c r="D10" s="1">
        <v>46099.645673379629</v>
      </c>
      <c r="E10" t="s">
        <v>12</v>
      </c>
      <c r="F10" t="s">
        <v>70</v>
      </c>
      <c r="G10" t="s">
        <v>71</v>
      </c>
      <c r="H10" t="s">
        <v>72</v>
      </c>
      <c r="I10" t="s">
        <v>48</v>
      </c>
      <c r="J10" t="e" vm="1">
        <f>_xlfn.IMAGE(_xlfn.CONCAT(images[[#This Row],[Folder Path]],"\",images[[#This Row],[Name]]),,0,,)</f>
        <v>#VALUE!</v>
      </c>
    </row>
    <row r="11" spans="1:10" x14ac:dyDescent="0.3">
      <c r="A11" s="2">
        <v>10</v>
      </c>
      <c r="B11" t="s">
        <v>22</v>
      </c>
      <c r="C11" t="s">
        <v>11</v>
      </c>
      <c r="D11" s="1">
        <v>46099.645673576386</v>
      </c>
      <c r="E11" t="s">
        <v>12</v>
      </c>
      <c r="F11" t="s">
        <v>73</v>
      </c>
      <c r="G11" t="s">
        <v>74</v>
      </c>
      <c r="H11" t="s">
        <v>72</v>
      </c>
      <c r="I11" t="s">
        <v>48</v>
      </c>
      <c r="J11" t="e" vm="1">
        <f>_xlfn.IMAGE(_xlfn.CONCAT(images[[#This Row],[Folder Path]],"\",images[[#This Row],[Name]]),,0,,)</f>
        <v>#VALUE!</v>
      </c>
    </row>
    <row r="12" spans="1:10" x14ac:dyDescent="0.3">
      <c r="A12" s="2">
        <v>11</v>
      </c>
      <c r="B12" t="s">
        <v>23</v>
      </c>
      <c r="C12" t="s">
        <v>15</v>
      </c>
      <c r="D12" s="1">
        <v>46099.645673738429</v>
      </c>
      <c r="E12" t="s">
        <v>12</v>
      </c>
      <c r="F12" t="s">
        <v>75</v>
      </c>
      <c r="G12" t="s">
        <v>76</v>
      </c>
      <c r="H12" t="s">
        <v>77</v>
      </c>
      <c r="I12" t="s">
        <v>54</v>
      </c>
      <c r="J12" t="e" vm="1">
        <f>_xlfn.IMAGE(_xlfn.CONCAT(images[[#This Row],[Folder Path]],"\",images[[#This Row],[Name]]),,0,,)</f>
        <v>#VALUE!</v>
      </c>
    </row>
    <row r="13" spans="1:10" x14ac:dyDescent="0.3">
      <c r="A13" s="2">
        <v>12</v>
      </c>
      <c r="B13" t="s">
        <v>24</v>
      </c>
      <c r="C13" t="s">
        <v>15</v>
      </c>
      <c r="D13" s="1">
        <v>46099.645673946761</v>
      </c>
      <c r="E13" t="s">
        <v>12</v>
      </c>
      <c r="F13" t="s">
        <v>75</v>
      </c>
      <c r="G13" t="s">
        <v>80</v>
      </c>
      <c r="H13" t="s">
        <v>77</v>
      </c>
      <c r="I13" t="s">
        <v>54</v>
      </c>
      <c r="J13" t="e" vm="1">
        <f>_xlfn.IMAGE(_xlfn.CONCAT(images[[#This Row],[Folder Path]],"\",images[[#This Row],[Name]]),,0,,)</f>
        <v>#VALUE!</v>
      </c>
    </row>
    <row r="14" spans="1:10" x14ac:dyDescent="0.3">
      <c r="A14" s="2">
        <v>13</v>
      </c>
      <c r="B14" t="s">
        <v>25</v>
      </c>
      <c r="C14" t="s">
        <v>11</v>
      </c>
      <c r="D14" s="1">
        <v>46099.645674131942</v>
      </c>
      <c r="E14" t="s">
        <v>12</v>
      </c>
      <c r="F14" t="s">
        <v>78</v>
      </c>
      <c r="G14" t="s">
        <v>79</v>
      </c>
      <c r="H14" t="s">
        <v>81</v>
      </c>
      <c r="I14" t="s">
        <v>54</v>
      </c>
      <c r="J14" t="e" vm="1">
        <f>_xlfn.IMAGE(_xlfn.CONCAT(images[[#This Row],[Folder Path]],"\",images[[#This Row],[Name]]),,0,,)</f>
        <v>#VALUE!</v>
      </c>
    </row>
    <row r="15" spans="1:10" x14ac:dyDescent="0.3">
      <c r="A15" s="2">
        <v>14</v>
      </c>
      <c r="B15" t="s">
        <v>26</v>
      </c>
      <c r="C15" t="s">
        <v>15</v>
      </c>
      <c r="D15" s="1">
        <v>46099.645674305553</v>
      </c>
      <c r="E15" t="s">
        <v>12</v>
      </c>
      <c r="F15" t="s">
        <v>82</v>
      </c>
      <c r="G15" t="s">
        <v>83</v>
      </c>
      <c r="H15" t="s">
        <v>84</v>
      </c>
      <c r="I15" t="s">
        <v>54</v>
      </c>
      <c r="J15" t="e" vm="1">
        <f>_xlfn.IMAGE(_xlfn.CONCAT(images[[#This Row],[Folder Path]],"\",images[[#This Row],[Name]]),,0,,)</f>
        <v>#VALUE!</v>
      </c>
    </row>
    <row r="16" spans="1:10" x14ac:dyDescent="0.3">
      <c r="A16" s="2">
        <v>15</v>
      </c>
      <c r="B16" t="s">
        <v>27</v>
      </c>
      <c r="C16" t="s">
        <v>15</v>
      </c>
      <c r="D16" s="1">
        <v>46099.645674502317</v>
      </c>
      <c r="E16" t="s">
        <v>12</v>
      </c>
      <c r="F16" t="s">
        <v>82</v>
      </c>
      <c r="G16" t="s">
        <v>83</v>
      </c>
      <c r="H16" t="s">
        <v>84</v>
      </c>
      <c r="I16" t="s">
        <v>54</v>
      </c>
      <c r="J16" t="e" vm="1">
        <f>_xlfn.IMAGE(_xlfn.CONCAT(images[[#This Row],[Folder Path]],"\",images[[#This Row],[Name]]),,0,,)</f>
        <v>#VALUE!</v>
      </c>
    </row>
    <row r="17" spans="1:10" x14ac:dyDescent="0.3">
      <c r="A17" s="2">
        <v>16</v>
      </c>
      <c r="B17" t="s">
        <v>28</v>
      </c>
      <c r="C17" t="s">
        <v>11</v>
      </c>
      <c r="D17" s="1">
        <v>46099.645674699073</v>
      </c>
      <c r="E17" t="s">
        <v>12</v>
      </c>
      <c r="F17" t="s">
        <v>85</v>
      </c>
      <c r="G17" t="s">
        <v>86</v>
      </c>
      <c r="H17" t="s">
        <v>87</v>
      </c>
      <c r="I17" t="s">
        <v>88</v>
      </c>
      <c r="J17" t="e" vm="1">
        <f>_xlfn.IMAGE(_xlfn.CONCAT(images[[#This Row],[Folder Path]],"\",images[[#This Row],[Name]]),,0,,)</f>
        <v>#VALUE!</v>
      </c>
    </row>
    <row r="18" spans="1:10" x14ac:dyDescent="0.3">
      <c r="A18" s="2">
        <v>17</v>
      </c>
      <c r="B18" t="s">
        <v>29</v>
      </c>
      <c r="C18" t="s">
        <v>15</v>
      </c>
      <c r="D18" s="1">
        <v>46099.645674872685</v>
      </c>
      <c r="E18" t="s">
        <v>12</v>
      </c>
      <c r="F18" t="s">
        <v>89</v>
      </c>
      <c r="G18" t="s">
        <v>90</v>
      </c>
      <c r="H18" t="s">
        <v>91</v>
      </c>
      <c r="I18" t="s">
        <v>88</v>
      </c>
      <c r="J18" t="e" vm="1">
        <f>_xlfn.IMAGE(_xlfn.CONCAT(images[[#This Row],[Folder Path]],"\",images[[#This Row],[Name]]),,0,,)</f>
        <v>#VALUE!</v>
      </c>
    </row>
    <row r="19" spans="1:10" x14ac:dyDescent="0.3">
      <c r="A19" s="2">
        <v>18</v>
      </c>
      <c r="B19" t="s">
        <v>30</v>
      </c>
      <c r="C19" t="s">
        <v>11</v>
      </c>
      <c r="D19" s="1">
        <v>46099.645675057873</v>
      </c>
      <c r="E19" t="s">
        <v>12</v>
      </c>
      <c r="F19" t="s">
        <v>92</v>
      </c>
      <c r="G19" t="s">
        <v>93</v>
      </c>
      <c r="H19" t="s">
        <v>94</v>
      </c>
      <c r="I19" t="s">
        <v>48</v>
      </c>
      <c r="J19" t="e" vm="1">
        <f>_xlfn.IMAGE(_xlfn.CONCAT(images[[#This Row],[Folder Path]],"\",images[[#This Row],[Name]]),,0,,)</f>
        <v>#VALUE!</v>
      </c>
    </row>
    <row r="20" spans="1:10" x14ac:dyDescent="0.3">
      <c r="A20" s="2">
        <v>19</v>
      </c>
      <c r="B20" t="s">
        <v>31</v>
      </c>
      <c r="C20" t="s">
        <v>11</v>
      </c>
      <c r="D20" s="1">
        <v>46099.645675219908</v>
      </c>
      <c r="E20" t="s">
        <v>12</v>
      </c>
      <c r="F20" t="s">
        <v>95</v>
      </c>
      <c r="G20" t="s">
        <v>96</v>
      </c>
      <c r="H20" t="s">
        <v>94</v>
      </c>
      <c r="I20" t="s">
        <v>48</v>
      </c>
      <c r="J20" t="e" vm="1">
        <f>_xlfn.IMAGE(_xlfn.CONCAT(images[[#This Row],[Folder Path]],"\",images[[#This Row],[Name]]),,0,,)</f>
        <v>#VALUE!</v>
      </c>
    </row>
    <row r="21" spans="1:10" x14ac:dyDescent="0.3">
      <c r="A21" s="2">
        <v>20</v>
      </c>
      <c r="B21" t="s">
        <v>32</v>
      </c>
      <c r="C21" t="s">
        <v>11</v>
      </c>
      <c r="D21" s="1">
        <v>46099.645675405096</v>
      </c>
      <c r="E21" t="s">
        <v>12</v>
      </c>
      <c r="F21" t="s">
        <v>97</v>
      </c>
      <c r="G21" t="s">
        <v>98</v>
      </c>
      <c r="H21" t="s">
        <v>99</v>
      </c>
      <c r="I21" t="s">
        <v>88</v>
      </c>
      <c r="J21" t="e" vm="1">
        <f>_xlfn.IMAGE(_xlfn.CONCAT(images[[#This Row],[Folder Path]],"\",images[[#This Row],[Name]]),,0,,)</f>
        <v>#VALUE!</v>
      </c>
    </row>
    <row r="22" spans="1:10" x14ac:dyDescent="0.3">
      <c r="A22" s="2">
        <v>21</v>
      </c>
      <c r="B22" t="s">
        <v>33</v>
      </c>
      <c r="C22" t="s">
        <v>11</v>
      </c>
      <c r="D22" s="1">
        <v>46099.64567568287</v>
      </c>
      <c r="E22" t="s">
        <v>12</v>
      </c>
      <c r="F22" t="s">
        <v>97</v>
      </c>
      <c r="G22" t="s">
        <v>98</v>
      </c>
      <c r="H22" t="s">
        <v>99</v>
      </c>
      <c r="I22" t="s">
        <v>88</v>
      </c>
      <c r="J22" t="e" vm="1">
        <f>_xlfn.IMAGE(_xlfn.CONCAT(images[[#This Row],[Folder Path]],"\",images[[#This Row],[Name]]),,0,,)</f>
        <v>#VALUE!</v>
      </c>
    </row>
    <row r="23" spans="1:10" x14ac:dyDescent="0.3">
      <c r="A23" s="2">
        <v>22</v>
      </c>
      <c r="B23" t="s">
        <v>34</v>
      </c>
      <c r="C23" t="s">
        <v>11</v>
      </c>
      <c r="D23" s="1">
        <v>46099.6456759375</v>
      </c>
      <c r="E23" t="s">
        <v>12</v>
      </c>
      <c r="F23" t="s">
        <v>100</v>
      </c>
      <c r="G23" t="s">
        <v>101</v>
      </c>
      <c r="H23" t="s">
        <v>102</v>
      </c>
      <c r="I23" t="s">
        <v>69</v>
      </c>
      <c r="J23" t="e" vm="1">
        <f>_xlfn.IMAGE(_xlfn.CONCAT(images[[#This Row],[Folder Path]],"\",images[[#This Row],[Name]]),,0,,)</f>
        <v>#VALUE!</v>
      </c>
    </row>
    <row r="24" spans="1:10" x14ac:dyDescent="0.3">
      <c r="A24" s="2">
        <v>23</v>
      </c>
      <c r="B24" t="s">
        <v>35</v>
      </c>
      <c r="C24" t="s">
        <v>11</v>
      </c>
      <c r="D24" s="1">
        <v>46099.645676180553</v>
      </c>
      <c r="E24" t="s">
        <v>12</v>
      </c>
      <c r="F24" t="s">
        <v>103</v>
      </c>
      <c r="G24" t="s">
        <v>104</v>
      </c>
      <c r="H24" t="s">
        <v>105</v>
      </c>
      <c r="I24" t="s">
        <v>54</v>
      </c>
      <c r="J24" t="e" vm="1">
        <f>_xlfn.IMAGE(_xlfn.CONCAT(images[[#This Row],[Folder Path]],"\",images[[#This Row],[Name]]),,0,,)</f>
        <v>#VALUE!</v>
      </c>
    </row>
    <row r="25" spans="1:10" x14ac:dyDescent="0.3">
      <c r="A25" s="2">
        <v>24</v>
      </c>
      <c r="B25" t="s">
        <v>36</v>
      </c>
      <c r="C25" t="s">
        <v>11</v>
      </c>
      <c r="D25" s="1">
        <v>46099.645676412038</v>
      </c>
      <c r="E25" t="s">
        <v>12</v>
      </c>
    </row>
    <row r="26" spans="1:10" x14ac:dyDescent="0.3">
      <c r="A26" s="2">
        <v>25</v>
      </c>
      <c r="B26" t="s">
        <v>37</v>
      </c>
      <c r="C26" t="s">
        <v>11</v>
      </c>
      <c r="D26" s="1">
        <v>46099.645676655091</v>
      </c>
      <c r="E26" t="s">
        <v>12</v>
      </c>
      <c r="J26" t="e" vm="1">
        <f>_xlfn.IMAGE(_xlfn.CONCAT(images[[#This Row],[Folder Path]],"\",images[[#This Row],[Name]]),,0,,)</f>
        <v>#VALUE!</v>
      </c>
    </row>
    <row r="27" spans="1:10" x14ac:dyDescent="0.3">
      <c r="A27" s="2">
        <v>26</v>
      </c>
      <c r="B27" t="s">
        <v>38</v>
      </c>
      <c r="C27" t="s">
        <v>15</v>
      </c>
      <c r="D27" s="1">
        <v>46099.645676886576</v>
      </c>
      <c r="E27" t="s">
        <v>12</v>
      </c>
      <c r="F27" t="s">
        <v>106</v>
      </c>
      <c r="G27" t="s">
        <v>107</v>
      </c>
      <c r="H27" t="s">
        <v>87</v>
      </c>
      <c r="I27" t="s">
        <v>88</v>
      </c>
      <c r="J27" t="e" vm="1">
        <f>_xlfn.IMAGE(_xlfn.CONCAT(images[[#This Row],[Folder Path]],"\",images[[#This Row],[Name]]),,0,,)</f>
        <v>#VALUE!</v>
      </c>
    </row>
    <row r="28" spans="1:10" x14ac:dyDescent="0.3">
      <c r="A28" s="2">
        <v>27</v>
      </c>
      <c r="B28" t="s">
        <v>39</v>
      </c>
      <c r="C28" t="s">
        <v>11</v>
      </c>
      <c r="D28" s="1">
        <v>46099.645677141205</v>
      </c>
      <c r="E28" t="s">
        <v>12</v>
      </c>
      <c r="F28" t="s">
        <v>108</v>
      </c>
      <c r="G28" t="s">
        <v>109</v>
      </c>
      <c r="H28" t="s">
        <v>110</v>
      </c>
      <c r="I28" t="s">
        <v>48</v>
      </c>
      <c r="J28" t="e" vm="1">
        <f>_xlfn.IMAGE(_xlfn.CONCAT(images[[#This Row],[Folder Path]],"\",images[[#This Row],[Name]]),,0,,)</f>
        <v>#VALUE!</v>
      </c>
    </row>
    <row r="29" spans="1:10" x14ac:dyDescent="0.3">
      <c r="A29" s="2">
        <v>28</v>
      </c>
      <c r="B29" t="s">
        <v>40</v>
      </c>
      <c r="C29" t="s">
        <v>11</v>
      </c>
      <c r="D29" s="1">
        <v>46099.645677418979</v>
      </c>
      <c r="E29" t="s">
        <v>12</v>
      </c>
      <c r="F29" t="s">
        <v>111</v>
      </c>
      <c r="G29" t="s">
        <v>112</v>
      </c>
      <c r="H29" t="s">
        <v>113</v>
      </c>
      <c r="I29" t="s">
        <v>48</v>
      </c>
      <c r="J29" t="e" vm="1">
        <f>_xlfn.IMAGE(_xlfn.CONCAT(images[[#This Row],[Folder Path]],"\",images[[#This Row],[Name]]),,0,,)</f>
        <v>#VALUE!</v>
      </c>
    </row>
    <row r="30" spans="1:10" x14ac:dyDescent="0.3">
      <c r="A30" s="2">
        <v>29</v>
      </c>
      <c r="B30" t="s">
        <v>41</v>
      </c>
      <c r="C30" t="s">
        <v>15</v>
      </c>
      <c r="D30" s="1">
        <v>46099.64567766204</v>
      </c>
      <c r="E30" t="s">
        <v>12</v>
      </c>
      <c r="F30" t="s">
        <v>114</v>
      </c>
      <c r="G30" t="s">
        <v>115</v>
      </c>
      <c r="H30" t="s">
        <v>87</v>
      </c>
      <c r="I30" t="s">
        <v>88</v>
      </c>
      <c r="J30" t="e" vm="1">
        <f>_xlfn.IMAGE(_xlfn.CONCAT(images[[#This Row],[Folder Path]],"\",images[[#This Row],[Name]]),,0,,)</f>
        <v>#VALUE!</v>
      </c>
    </row>
    <row r="31" spans="1:10" x14ac:dyDescent="0.3">
      <c r="A31" s="2">
        <v>30</v>
      </c>
      <c r="B31" t="s">
        <v>42</v>
      </c>
      <c r="C31" t="s">
        <v>15</v>
      </c>
      <c r="D31" s="1">
        <v>46099.645677835651</v>
      </c>
      <c r="E31" t="s">
        <v>12</v>
      </c>
      <c r="F31" t="s">
        <v>116</v>
      </c>
      <c r="G31" t="s">
        <v>117</v>
      </c>
      <c r="H31" t="s">
        <v>118</v>
      </c>
      <c r="I31" t="s">
        <v>69</v>
      </c>
      <c r="J31" t="e" vm="1">
        <f>_xlfn.IMAGE(_xlfn.CONCAT(images[[#This Row],[Folder Path]],"\",images[[#This Row],[Name]]),,0,,)</f>
        <v>#VALUE!</v>
      </c>
    </row>
    <row r="32" spans="1:10" x14ac:dyDescent="0.3">
      <c r="A32" s="2">
        <v>31</v>
      </c>
      <c r="B32" t="s">
        <v>43</v>
      </c>
      <c r="C32" t="s">
        <v>15</v>
      </c>
      <c r="D32" s="1">
        <v>46099.645678067129</v>
      </c>
      <c r="E32" t="s">
        <v>12</v>
      </c>
      <c r="F32" t="s">
        <v>116</v>
      </c>
      <c r="G32" t="s">
        <v>119</v>
      </c>
      <c r="H32" t="s">
        <v>118</v>
      </c>
      <c r="I32" t="s">
        <v>69</v>
      </c>
      <c r="J32" t="e" vm="1">
        <f>_xlfn.IMAGE(_xlfn.CONCAT(images[[#This Row],[Folder Path]],"\",images[[#This Row],[Name]]),,0,,)</f>
        <v>#VALUE!</v>
      </c>
    </row>
    <row r="33" spans="1:10" x14ac:dyDescent="0.3">
      <c r="A33" s="2">
        <v>32</v>
      </c>
      <c r="B33" t="s">
        <v>44</v>
      </c>
      <c r="C33" t="s">
        <v>15</v>
      </c>
      <c r="D33" s="1">
        <v>46099.645678275461</v>
      </c>
      <c r="E33" t="s">
        <v>12</v>
      </c>
      <c r="F33" t="s">
        <v>120</v>
      </c>
      <c r="G33" t="s">
        <v>121</v>
      </c>
      <c r="H33" t="s">
        <v>122</v>
      </c>
      <c r="I33" t="s">
        <v>88</v>
      </c>
      <c r="J33" t="e" vm="1">
        <f>_xlfn.IMAGE(_xlfn.CONCAT(images[[#This Row],[Folder Path]],"\",images[[#This Row],[Name]]),,0,,)</f>
        <v>#VALUE!</v>
      </c>
    </row>
    <row r="34" spans="1:10" x14ac:dyDescent="0.3">
      <c r="A34" s="2">
        <v>33</v>
      </c>
    </row>
    <row r="35" spans="1:10" x14ac:dyDescent="0.3">
      <c r="A35" s="2">
        <v>34</v>
      </c>
    </row>
    <row r="36" spans="1:10" x14ac:dyDescent="0.3">
      <c r="A36" s="2">
        <v>35</v>
      </c>
    </row>
    <row r="37" spans="1:10" x14ac:dyDescent="0.3">
      <c r="A37" s="2">
        <v>36</v>
      </c>
    </row>
    <row r="38" spans="1:10" x14ac:dyDescent="0.3">
      <c r="A38" s="2">
        <v>37</v>
      </c>
    </row>
    <row r="39" spans="1:10" x14ac:dyDescent="0.3">
      <c r="A39" s="2">
        <v>38</v>
      </c>
    </row>
    <row r="40" spans="1:10" x14ac:dyDescent="0.3">
      <c r="A40" s="2">
        <v>39</v>
      </c>
    </row>
    <row r="41" spans="1:10" x14ac:dyDescent="0.3">
      <c r="A41" s="2">
        <v>40</v>
      </c>
    </row>
    <row r="42" spans="1:10" x14ac:dyDescent="0.3">
      <c r="A42" s="2">
        <v>41</v>
      </c>
    </row>
    <row r="43" spans="1:10" x14ac:dyDescent="0.3">
      <c r="A43" s="2">
        <v>42</v>
      </c>
    </row>
    <row r="44" spans="1:10" x14ac:dyDescent="0.3">
      <c r="A44" s="2">
        <v>43</v>
      </c>
    </row>
    <row r="45" spans="1:10" x14ac:dyDescent="0.3">
      <c r="A45" s="2">
        <v>44</v>
      </c>
    </row>
    <row r="46" spans="1:10" x14ac:dyDescent="0.3">
      <c r="A46" s="2">
        <v>45</v>
      </c>
    </row>
    <row r="47" spans="1:10" x14ac:dyDescent="0.3">
      <c r="A47" s="2">
        <v>46</v>
      </c>
    </row>
    <row r="48" spans="1:10" x14ac:dyDescent="0.3">
      <c r="A48" s="2">
        <v>47</v>
      </c>
    </row>
    <row r="49" spans="1:1" x14ac:dyDescent="0.3">
      <c r="A49" s="2">
        <v>48</v>
      </c>
    </row>
    <row r="50" spans="1:1" x14ac:dyDescent="0.3">
      <c r="A50" s="2">
        <v>49</v>
      </c>
    </row>
    <row r="51" spans="1:1" x14ac:dyDescent="0.3">
      <c r="A51" s="2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7AEC-C4AD-44D6-BF01-9A6149307182}">
  <sheetPr codeName="Feuil3"/>
  <dimension ref="A1:F41"/>
  <sheetViews>
    <sheetView workbookViewId="0">
      <selection activeCell="B3" sqref="B3"/>
    </sheetView>
  </sheetViews>
  <sheetFormatPr baseColWidth="10" defaultRowHeight="14.4" x14ac:dyDescent="0.3"/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cm="1">
        <f t="array" ref="A2:A41">_xlfn.SEQUENCE(40)</f>
        <v>1</v>
      </c>
    </row>
    <row r="3" spans="1:6" x14ac:dyDescent="0.3">
      <c r="A3">
        <v>2</v>
      </c>
    </row>
    <row r="4" spans="1:6" x14ac:dyDescent="0.3">
      <c r="A4">
        <v>3</v>
      </c>
    </row>
    <row r="5" spans="1:6" x14ac:dyDescent="0.3">
      <c r="A5">
        <v>4</v>
      </c>
    </row>
    <row r="6" spans="1:6" x14ac:dyDescent="0.3">
      <c r="A6">
        <v>5</v>
      </c>
    </row>
    <row r="7" spans="1:6" x14ac:dyDescent="0.3">
      <c r="A7">
        <v>6</v>
      </c>
    </row>
    <row r="8" spans="1:6" x14ac:dyDescent="0.3">
      <c r="A8">
        <v>7</v>
      </c>
    </row>
    <row r="9" spans="1:6" x14ac:dyDescent="0.3">
      <c r="A9">
        <v>8</v>
      </c>
    </row>
    <row r="10" spans="1:6" x14ac:dyDescent="0.3">
      <c r="A10">
        <v>9</v>
      </c>
    </row>
    <row r="11" spans="1:6" x14ac:dyDescent="0.3">
      <c r="A11">
        <v>10</v>
      </c>
    </row>
    <row r="12" spans="1:6" x14ac:dyDescent="0.3">
      <c r="A12">
        <v>11</v>
      </c>
    </row>
    <row r="13" spans="1:6" x14ac:dyDescent="0.3">
      <c r="A13">
        <v>12</v>
      </c>
    </row>
    <row r="14" spans="1:6" x14ac:dyDescent="0.3">
      <c r="A14">
        <v>13</v>
      </c>
    </row>
    <row r="15" spans="1:6" x14ac:dyDescent="0.3">
      <c r="A15">
        <v>14</v>
      </c>
    </row>
    <row r="16" spans="1:6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91B80B-2BB2-4DDB-A5AA-2A4F81A049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</vt:i4>
      </vt:variant>
    </vt:vector>
  </HeadingPairs>
  <TitlesOfParts>
    <vt:vector size="3" baseType="lpstr">
      <vt:lpstr>images</vt:lpstr>
      <vt:lpstr>Feuil1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LIGNEUL</dc:creator>
  <cp:lastModifiedBy>Alexandre LIGNEUL</cp:lastModifiedBy>
  <dcterms:created xsi:type="dcterms:W3CDTF">2026-03-18T13:46:58Z</dcterms:created>
  <dcterms:modified xsi:type="dcterms:W3CDTF">2026-03-18T22:19:49Z</dcterms:modified>
</cp:coreProperties>
</file>